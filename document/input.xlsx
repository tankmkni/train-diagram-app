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asad\Documents\notebook\Angular\Projects\train-diagram-app\document\"/>
    </mc:Choice>
  </mc:AlternateContent>
  <xr:revisionPtr revIDLastSave="0" documentId="13_ncr:1_{ECD6AD80-DAA4-42D5-8E9E-FCEA2AF35DC9}" xr6:coauthVersionLast="47" xr6:coauthVersionMax="47" xr10:uidLastSave="{00000000-0000-0000-0000-000000000000}"/>
  <bookViews>
    <workbookView xWindow="585" yWindow="-15555" windowWidth="14445" windowHeight="14460" xr2:uid="{00000000-000D-0000-FFFF-FFFF00000000}"/>
  </bookViews>
  <sheets>
    <sheet name="train_timetable" sheetId="2" r:id="rId1"/>
    <sheet name="station_master" sheetId="1" r:id="rId2"/>
    <sheet name="train_type_master" sheetId="3" r:id="rId3"/>
    <sheet name="destination_master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4" i="1"/>
  <c r="C25" i="1"/>
  <c r="C13" i="1"/>
  <c r="C4" i="1"/>
  <c r="C5" i="1"/>
  <c r="C6" i="1"/>
  <c r="C7" i="1"/>
  <c r="C8" i="1"/>
  <c r="C9" i="1"/>
  <c r="C10" i="1"/>
  <c r="C11" i="1"/>
  <c r="C3" i="1"/>
  <c r="C26" i="1" l="1"/>
</calcChain>
</file>

<file path=xl/sharedStrings.xml><?xml version="1.0" encoding="utf-8"?>
<sst xmlns="http://schemas.openxmlformats.org/spreadsheetml/2006/main" count="568" uniqueCount="99">
  <si>
    <t>駅名</t>
    <rPh sb="0" eb="2">
      <t>エキメイ</t>
    </rPh>
    <phoneticPr fontId="1"/>
  </si>
  <si>
    <t>稲田堤</t>
    <rPh sb="0" eb="3">
      <t>イナダツツミ</t>
    </rPh>
    <phoneticPr fontId="1"/>
  </si>
  <si>
    <t>中野島</t>
    <rPh sb="0" eb="3">
      <t>ナカノシマ</t>
    </rPh>
    <phoneticPr fontId="1"/>
  </si>
  <si>
    <t>登戸</t>
    <rPh sb="0" eb="2">
      <t>ノボリト</t>
    </rPh>
    <phoneticPr fontId="1"/>
  </si>
  <si>
    <t>宿河原</t>
    <rPh sb="0" eb="3">
      <t>シュクガワラ</t>
    </rPh>
    <phoneticPr fontId="1"/>
  </si>
  <si>
    <t>久地</t>
    <rPh sb="0" eb="2">
      <t>クジ</t>
    </rPh>
    <phoneticPr fontId="1"/>
  </si>
  <si>
    <t>津田山</t>
    <rPh sb="0" eb="3">
      <t>ツダヤマ</t>
    </rPh>
    <phoneticPr fontId="1"/>
  </si>
  <si>
    <t>駅ID</t>
    <rPh sb="0" eb="1">
      <t>エキ</t>
    </rPh>
    <phoneticPr fontId="1"/>
  </si>
  <si>
    <t>JN16</t>
    <phoneticPr fontId="1"/>
  </si>
  <si>
    <t>JN15</t>
    <phoneticPr fontId="1"/>
  </si>
  <si>
    <t>JN14</t>
  </si>
  <si>
    <t>JN13</t>
  </si>
  <si>
    <t>JN12</t>
  </si>
  <si>
    <t>JN11</t>
  </si>
  <si>
    <t>JN10</t>
  </si>
  <si>
    <t>武蔵溝ノ口</t>
    <rPh sb="0" eb="2">
      <t>ムサシ</t>
    </rPh>
    <rPh sb="2" eb="3">
      <t>ミゾ</t>
    </rPh>
    <rPh sb="4" eb="5">
      <t>クチ</t>
    </rPh>
    <phoneticPr fontId="1"/>
  </si>
  <si>
    <t>武蔵新城</t>
    <rPh sb="0" eb="2">
      <t>ムサシ</t>
    </rPh>
    <rPh sb="2" eb="4">
      <t>シンジョウ</t>
    </rPh>
    <phoneticPr fontId="1"/>
  </si>
  <si>
    <t>武蔵中原</t>
    <rPh sb="0" eb="2">
      <t>ムサシ</t>
    </rPh>
    <rPh sb="2" eb="4">
      <t>ナカハラ</t>
    </rPh>
    <phoneticPr fontId="1"/>
  </si>
  <si>
    <t>武蔵小杉</t>
    <rPh sb="0" eb="2">
      <t>ムサシ</t>
    </rPh>
    <rPh sb="2" eb="4">
      <t>コスギ</t>
    </rPh>
    <phoneticPr fontId="1"/>
  </si>
  <si>
    <t>JN09</t>
    <phoneticPr fontId="1"/>
  </si>
  <si>
    <t>JN08</t>
    <phoneticPr fontId="1"/>
  </si>
  <si>
    <t>JN07</t>
    <phoneticPr fontId="1"/>
  </si>
  <si>
    <t>営業距離</t>
    <rPh sb="0" eb="2">
      <t>エイギョウ</t>
    </rPh>
    <rPh sb="2" eb="4">
      <t>キョリ</t>
    </rPh>
    <phoneticPr fontId="1"/>
  </si>
  <si>
    <t>TY11</t>
    <phoneticPr fontId="1"/>
  </si>
  <si>
    <t>TY12</t>
    <phoneticPr fontId="1"/>
  </si>
  <si>
    <t>元住吉</t>
    <rPh sb="0" eb="3">
      <t>モトスミヨシ</t>
    </rPh>
    <phoneticPr fontId="1"/>
  </si>
  <si>
    <t>日吉</t>
    <rPh sb="0" eb="2">
      <t>ヒヨシ</t>
    </rPh>
    <phoneticPr fontId="1"/>
  </si>
  <si>
    <t>綱島</t>
    <rPh sb="0" eb="2">
      <t>ツナシマ</t>
    </rPh>
    <phoneticPr fontId="1"/>
  </si>
  <si>
    <t>大倉山</t>
    <rPh sb="0" eb="3">
      <t>オオクラヤマ</t>
    </rPh>
    <phoneticPr fontId="1"/>
  </si>
  <si>
    <t>菊名</t>
    <rPh sb="0" eb="2">
      <t>キクナ</t>
    </rPh>
    <phoneticPr fontId="1"/>
  </si>
  <si>
    <t>妙蓮寺</t>
    <rPh sb="0" eb="3">
      <t>ミョウレンジ</t>
    </rPh>
    <phoneticPr fontId="1"/>
  </si>
  <si>
    <t>白楽</t>
    <rPh sb="0" eb="2">
      <t>ハクラク</t>
    </rPh>
    <phoneticPr fontId="1"/>
  </si>
  <si>
    <t>東白楽</t>
    <rPh sb="0" eb="1">
      <t>ヒガシ</t>
    </rPh>
    <rPh sb="1" eb="3">
      <t>ハクラク</t>
    </rPh>
    <phoneticPr fontId="1"/>
  </si>
  <si>
    <t>反町</t>
    <rPh sb="0" eb="2">
      <t>タンマチ</t>
    </rPh>
    <phoneticPr fontId="1"/>
  </si>
  <si>
    <t>横浜</t>
    <rPh sb="0" eb="2">
      <t>ヨコハマ</t>
    </rPh>
    <phoneticPr fontId="1"/>
  </si>
  <si>
    <t>TY13</t>
  </si>
  <si>
    <t>TY14</t>
  </si>
  <si>
    <t>TY15</t>
  </si>
  <si>
    <t>TY16</t>
  </si>
  <si>
    <t>TY17</t>
  </si>
  <si>
    <t>TY18</t>
  </si>
  <si>
    <t>TY19</t>
  </si>
  <si>
    <t>TY20</t>
  </si>
  <si>
    <t>TY21</t>
  </si>
  <si>
    <t>MM01</t>
    <phoneticPr fontId="1"/>
  </si>
  <si>
    <t>新高島</t>
    <rPh sb="0" eb="3">
      <t>シンタカシマ</t>
    </rPh>
    <phoneticPr fontId="1"/>
  </si>
  <si>
    <t>みなとみらい</t>
    <phoneticPr fontId="1"/>
  </si>
  <si>
    <t>MM02</t>
    <phoneticPr fontId="1"/>
  </si>
  <si>
    <t>MM03</t>
    <phoneticPr fontId="1"/>
  </si>
  <si>
    <t>駅間距離</t>
    <rPh sb="0" eb="2">
      <t>エキカン</t>
    </rPh>
    <rPh sb="2" eb="4">
      <t>キョリ</t>
    </rPh>
    <phoneticPr fontId="1"/>
  </si>
  <si>
    <t>種別</t>
    <rPh sb="0" eb="2">
      <t>シュベツ</t>
    </rPh>
    <phoneticPr fontId="1"/>
  </si>
  <si>
    <t>行先</t>
    <rPh sb="0" eb="2">
      <t>イキサキ</t>
    </rPh>
    <phoneticPr fontId="1"/>
  </si>
  <si>
    <t>普通</t>
    <rPh sb="0" eb="2">
      <t>フツウ</t>
    </rPh>
    <phoneticPr fontId="1"/>
  </si>
  <si>
    <t>川崎</t>
    <rPh sb="0" eb="2">
      <t>カワサキ</t>
    </rPh>
    <phoneticPr fontId="1"/>
  </si>
  <si>
    <t>種別ID</t>
    <rPh sb="0" eb="2">
      <t>シュベツ</t>
    </rPh>
    <phoneticPr fontId="1"/>
  </si>
  <si>
    <t>快速</t>
    <rPh sb="0" eb="2">
      <t>カイソク</t>
    </rPh>
    <phoneticPr fontId="1"/>
  </si>
  <si>
    <t>各駅</t>
    <rPh sb="0" eb="2">
      <t>カクエキ</t>
    </rPh>
    <phoneticPr fontId="1"/>
  </si>
  <si>
    <t>急行</t>
    <rPh sb="0" eb="2">
      <t>キュウコウ</t>
    </rPh>
    <phoneticPr fontId="1"/>
  </si>
  <si>
    <t>通特</t>
    <rPh sb="0" eb="2">
      <t>ツウトク</t>
    </rPh>
    <phoneticPr fontId="1"/>
  </si>
  <si>
    <t>特急</t>
    <rPh sb="0" eb="2">
      <t>トッキュウ</t>
    </rPh>
    <phoneticPr fontId="1"/>
  </si>
  <si>
    <t>行先ID</t>
    <rPh sb="0" eb="2">
      <t>イクサキ</t>
    </rPh>
    <phoneticPr fontId="1"/>
  </si>
  <si>
    <t>行先</t>
    <rPh sb="0" eb="2">
      <t>イクサキ</t>
    </rPh>
    <phoneticPr fontId="1"/>
  </si>
  <si>
    <t>立川</t>
    <rPh sb="0" eb="2">
      <t>タチカワ</t>
    </rPh>
    <phoneticPr fontId="1"/>
  </si>
  <si>
    <t>稲城長沼</t>
    <rPh sb="0" eb="4">
      <t>イナギナガヌマ</t>
    </rPh>
    <phoneticPr fontId="1"/>
  </si>
  <si>
    <t xml:space="preserve">元町・中華街 </t>
    <phoneticPr fontId="1"/>
  </si>
  <si>
    <t>湘南台</t>
    <rPh sb="0" eb="3">
      <t>ショウナンダイ</t>
    </rPh>
    <phoneticPr fontId="1"/>
  </si>
  <si>
    <t>渋谷</t>
    <rPh sb="0" eb="2">
      <t>シブヤ</t>
    </rPh>
    <phoneticPr fontId="1"/>
  </si>
  <si>
    <t>和光市</t>
    <rPh sb="0" eb="3">
      <t>ワコウシ</t>
    </rPh>
    <phoneticPr fontId="1"/>
  </si>
  <si>
    <t>新宿三丁目</t>
    <rPh sb="0" eb="2">
      <t>シンジュク</t>
    </rPh>
    <rPh sb="2" eb="5">
      <t>サンチョウメ</t>
    </rPh>
    <phoneticPr fontId="1"/>
  </si>
  <si>
    <t>石神井公園</t>
    <rPh sb="0" eb="3">
      <t>シャクジイ</t>
    </rPh>
    <rPh sb="3" eb="5">
      <t>コウエン</t>
    </rPh>
    <phoneticPr fontId="1"/>
  </si>
  <si>
    <t>所沢</t>
    <rPh sb="0" eb="2">
      <t>トコロザワ</t>
    </rPh>
    <phoneticPr fontId="1"/>
  </si>
  <si>
    <t>保谷</t>
    <rPh sb="0" eb="2">
      <t>ホヤ</t>
    </rPh>
    <phoneticPr fontId="1"/>
  </si>
  <si>
    <t>志木</t>
    <rPh sb="0" eb="2">
      <t>シキ</t>
    </rPh>
    <phoneticPr fontId="1"/>
  </si>
  <si>
    <t>反応</t>
    <rPh sb="0" eb="2">
      <t>ハンノウ</t>
    </rPh>
    <phoneticPr fontId="1"/>
  </si>
  <si>
    <t>NOR</t>
    <phoneticPr fontId="1"/>
  </si>
  <si>
    <t>RAP</t>
    <phoneticPr fontId="1"/>
  </si>
  <si>
    <t>ALL</t>
    <phoneticPr fontId="1"/>
  </si>
  <si>
    <t>EXP</t>
    <phoneticPr fontId="1"/>
  </si>
  <si>
    <t>LTD</t>
    <phoneticPr fontId="1"/>
  </si>
  <si>
    <t>SPX</t>
    <phoneticPr fontId="1"/>
  </si>
  <si>
    <t>着時刻</t>
    <rPh sb="0" eb="1">
      <t>チャク</t>
    </rPh>
    <rPh sb="1" eb="3">
      <t>ジコク</t>
    </rPh>
    <phoneticPr fontId="1"/>
  </si>
  <si>
    <t>発時刻</t>
    <rPh sb="0" eb="1">
      <t>ハツ</t>
    </rPh>
    <rPh sb="1" eb="3">
      <t>ジコク</t>
    </rPh>
    <phoneticPr fontId="1"/>
  </si>
  <si>
    <t>列車ID</t>
    <rPh sb="0" eb="2">
      <t>レッシャ</t>
    </rPh>
    <phoneticPr fontId="1"/>
  </si>
  <si>
    <t>JN0614</t>
    <phoneticPr fontId="1"/>
  </si>
  <si>
    <t>TY0638</t>
    <phoneticPr fontId="1"/>
  </si>
  <si>
    <t>元町・中華街</t>
    <rPh sb="0" eb="2">
      <t>モトマチ</t>
    </rPh>
    <rPh sb="3" eb="6">
      <t>チュウカガイ</t>
    </rPh>
    <phoneticPr fontId="1"/>
  </si>
  <si>
    <t>TY0641</t>
    <phoneticPr fontId="1"/>
  </si>
  <si>
    <t>---</t>
    <phoneticPr fontId="1"/>
  </si>
  <si>
    <t>JN0623</t>
    <phoneticPr fontId="1"/>
  </si>
  <si>
    <t>TY0645</t>
    <phoneticPr fontId="1"/>
  </si>
  <si>
    <t>TY0653</t>
    <phoneticPr fontId="1"/>
  </si>
  <si>
    <t>MG0646</t>
    <phoneticPr fontId="1"/>
  </si>
  <si>
    <t>MGR</t>
    <phoneticPr fontId="1"/>
  </si>
  <si>
    <t>JN0627</t>
    <phoneticPr fontId="1"/>
  </si>
  <si>
    <t>JN0634</t>
    <phoneticPr fontId="1"/>
  </si>
  <si>
    <t>JN0643</t>
    <phoneticPr fontId="1"/>
  </si>
  <si>
    <t>JN0646</t>
    <phoneticPr fontId="1"/>
  </si>
  <si>
    <t>JN0654</t>
    <phoneticPr fontId="1"/>
  </si>
  <si>
    <t>JN0700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</si>
</sst>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 vertical="center"/>
    </xf>
    <xf numFmtId="0" fontId="0" fillId="0" borderId="0" xfId="0" quotePrefix="1" applyAlignment="1">
      <alignment horizontal="right" vertical="center"/>
    </xf>
    <xf numFmtId="20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center"/>
    </xf>
    <xf numFmtId="20" fontId="0" fillId="0" borderId="0" xfId="0" quotePrefix="1" applyNumberForma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24169-32B8-4170-B24D-430674F48FE1}">
  <dimension ref="A1:F113"/>
  <sheetViews>
    <sheetView tabSelected="1" topLeftCell="A53" workbookViewId="0">
      <selection activeCell="A72" sqref="A72"/>
    </sheetView>
  </sheetViews>
  <sheetFormatPr defaultRowHeight="18"/>
  <cols>
    <col min="3" max="3" width="12.33203125" bestFit="1" customWidth="1"/>
    <col min="5" max="6" width="8.6640625" style="1"/>
  </cols>
  <sheetData>
    <row r="1" spans="1:6">
      <c r="A1" t="s">
        <v>82</v>
      </c>
      <c r="B1" t="s">
        <v>54</v>
      </c>
      <c r="C1" t="s">
        <v>51</v>
      </c>
      <c r="D1" t="s">
        <v>7</v>
      </c>
      <c r="E1" s="4" t="s">
        <v>80</v>
      </c>
      <c r="F1" s="4" t="s">
        <v>81</v>
      </c>
    </row>
    <row r="2" spans="1:6">
      <c r="A2" t="s">
        <v>83</v>
      </c>
      <c r="B2" t="s">
        <v>74</v>
      </c>
      <c r="C2" t="s">
        <v>53</v>
      </c>
      <c r="D2" t="s">
        <v>8</v>
      </c>
      <c r="E2" s="2" t="s">
        <v>87</v>
      </c>
      <c r="F2" s="3">
        <v>0.25972222222222224</v>
      </c>
    </row>
    <row r="3" spans="1:6">
      <c r="A3" t="s">
        <v>83</v>
      </c>
      <c r="B3" t="s">
        <v>74</v>
      </c>
      <c r="C3" t="s">
        <v>53</v>
      </c>
      <c r="D3" t="s">
        <v>9</v>
      </c>
      <c r="E3" s="3">
        <v>0.26041666666666669</v>
      </c>
      <c r="F3" s="3">
        <v>0.26111111111111113</v>
      </c>
    </row>
    <row r="4" spans="1:6">
      <c r="A4" t="s">
        <v>83</v>
      </c>
      <c r="B4" t="s">
        <v>74</v>
      </c>
      <c r="C4" t="s">
        <v>53</v>
      </c>
      <c r="D4" t="s">
        <v>10</v>
      </c>
      <c r="E4" s="3">
        <v>0.26319444444444445</v>
      </c>
      <c r="F4" s="3">
        <v>0.2638888888888889</v>
      </c>
    </row>
    <row r="5" spans="1:6">
      <c r="A5" t="s">
        <v>83</v>
      </c>
      <c r="B5" t="s">
        <v>74</v>
      </c>
      <c r="C5" t="s">
        <v>53</v>
      </c>
      <c r="D5" t="s">
        <v>11</v>
      </c>
      <c r="E5" s="3">
        <v>0.26458333333333334</v>
      </c>
      <c r="F5" s="3">
        <v>0.26527777777777778</v>
      </c>
    </row>
    <row r="6" spans="1:6">
      <c r="A6" t="s">
        <v>83</v>
      </c>
      <c r="B6" t="s">
        <v>74</v>
      </c>
      <c r="C6" t="s">
        <v>53</v>
      </c>
      <c r="D6" t="s">
        <v>12</v>
      </c>
      <c r="E6" s="3">
        <v>0.26597222222222222</v>
      </c>
      <c r="F6" s="3">
        <v>0.26666666666666666</v>
      </c>
    </row>
    <row r="7" spans="1:6">
      <c r="A7" t="s">
        <v>83</v>
      </c>
      <c r="B7" t="s">
        <v>74</v>
      </c>
      <c r="C7" t="s">
        <v>53</v>
      </c>
      <c r="D7" t="s">
        <v>13</v>
      </c>
      <c r="E7" s="3">
        <v>0.2673611111111111</v>
      </c>
      <c r="F7" s="3">
        <v>0.2673611111111111</v>
      </c>
    </row>
    <row r="8" spans="1:6">
      <c r="A8" t="s">
        <v>83</v>
      </c>
      <c r="B8" t="s">
        <v>74</v>
      </c>
      <c r="C8" t="s">
        <v>53</v>
      </c>
      <c r="D8" t="s">
        <v>14</v>
      </c>
      <c r="E8" s="3">
        <v>0.26874999999999999</v>
      </c>
      <c r="F8" s="3">
        <v>0.26944444444444443</v>
      </c>
    </row>
    <row r="9" spans="1:6">
      <c r="A9" t="s">
        <v>83</v>
      </c>
      <c r="B9" t="s">
        <v>74</v>
      </c>
      <c r="C9" t="s">
        <v>53</v>
      </c>
      <c r="D9" t="s">
        <v>19</v>
      </c>
      <c r="E9" s="3">
        <v>0.27083333333333331</v>
      </c>
      <c r="F9" s="3">
        <v>0.27083333333333331</v>
      </c>
    </row>
    <row r="10" spans="1:6">
      <c r="A10" t="s">
        <v>83</v>
      </c>
      <c r="B10" t="s">
        <v>74</v>
      </c>
      <c r="C10" t="s">
        <v>53</v>
      </c>
      <c r="D10" t="s">
        <v>20</v>
      </c>
      <c r="E10" s="3">
        <v>0.27291666666666664</v>
      </c>
      <c r="F10" s="3">
        <v>0.27361111111111114</v>
      </c>
    </row>
    <row r="11" spans="1:6">
      <c r="A11" t="s">
        <v>83</v>
      </c>
      <c r="B11" t="s">
        <v>74</v>
      </c>
      <c r="C11" t="s">
        <v>53</v>
      </c>
      <c r="D11" t="s">
        <v>21</v>
      </c>
      <c r="E11" s="3">
        <v>0.27500000000000002</v>
      </c>
      <c r="F11" s="2" t="s">
        <v>87</v>
      </c>
    </row>
    <row r="12" spans="1:6">
      <c r="A12" t="s">
        <v>88</v>
      </c>
      <c r="B12" t="s">
        <v>74</v>
      </c>
      <c r="C12" t="s">
        <v>53</v>
      </c>
      <c r="D12" t="s">
        <v>8</v>
      </c>
      <c r="E12" s="2" t="s">
        <v>87</v>
      </c>
      <c r="F12" s="3">
        <v>0.26597222222222222</v>
      </c>
    </row>
    <row r="13" spans="1:6">
      <c r="A13" t="s">
        <v>88</v>
      </c>
      <c r="B13" t="s">
        <v>74</v>
      </c>
      <c r="C13" t="s">
        <v>53</v>
      </c>
      <c r="D13" t="s">
        <v>9</v>
      </c>
      <c r="E13" s="3">
        <v>0.26666666666666666</v>
      </c>
      <c r="F13" s="3">
        <v>0.2673611111111111</v>
      </c>
    </row>
    <row r="14" spans="1:6">
      <c r="A14" t="s">
        <v>88</v>
      </c>
      <c r="B14" t="s">
        <v>74</v>
      </c>
      <c r="C14" t="s">
        <v>53</v>
      </c>
      <c r="D14" t="s">
        <v>10</v>
      </c>
      <c r="E14" s="3">
        <v>0.26874999999999999</v>
      </c>
      <c r="F14" s="3">
        <v>0.26944444444444443</v>
      </c>
    </row>
    <row r="15" spans="1:6">
      <c r="A15" t="s">
        <v>88</v>
      </c>
      <c r="B15" t="s">
        <v>74</v>
      </c>
      <c r="C15" t="s">
        <v>53</v>
      </c>
      <c r="D15" t="s">
        <v>11</v>
      </c>
      <c r="E15" s="3">
        <v>0.27013888888888887</v>
      </c>
      <c r="F15" s="3">
        <v>0.27013888888888887</v>
      </c>
    </row>
    <row r="16" spans="1:6">
      <c r="A16" t="s">
        <v>88</v>
      </c>
      <c r="B16" t="s">
        <v>74</v>
      </c>
      <c r="C16" t="s">
        <v>53</v>
      </c>
      <c r="D16" t="s">
        <v>12</v>
      </c>
      <c r="E16" s="3">
        <v>0.27152777777777776</v>
      </c>
      <c r="F16" s="3">
        <v>0.27152777777777776</v>
      </c>
    </row>
    <row r="17" spans="1:6">
      <c r="A17" t="s">
        <v>88</v>
      </c>
      <c r="B17" t="s">
        <v>74</v>
      </c>
      <c r="C17" t="s">
        <v>53</v>
      </c>
      <c r="D17" t="s">
        <v>13</v>
      </c>
      <c r="E17" s="3">
        <v>0.27291666666666664</v>
      </c>
      <c r="F17" s="3">
        <v>0.27291666666666664</v>
      </c>
    </row>
    <row r="18" spans="1:6">
      <c r="A18" t="s">
        <v>88</v>
      </c>
      <c r="B18" t="s">
        <v>74</v>
      </c>
      <c r="C18" t="s">
        <v>53</v>
      </c>
      <c r="D18" t="s">
        <v>14</v>
      </c>
      <c r="E18" s="3">
        <v>0.27430555555555558</v>
      </c>
      <c r="F18" s="3">
        <v>0.27500000000000002</v>
      </c>
    </row>
    <row r="19" spans="1:6">
      <c r="A19" t="s">
        <v>88</v>
      </c>
      <c r="B19" t="s">
        <v>74</v>
      </c>
      <c r="C19" t="s">
        <v>53</v>
      </c>
      <c r="D19" t="s">
        <v>19</v>
      </c>
      <c r="E19" s="3">
        <v>0.27638888888888891</v>
      </c>
      <c r="F19" s="3">
        <v>0.27638888888888891</v>
      </c>
    </row>
    <row r="20" spans="1:6">
      <c r="A20" t="s">
        <v>88</v>
      </c>
      <c r="B20" t="s">
        <v>74</v>
      </c>
      <c r="C20" t="s">
        <v>53</v>
      </c>
      <c r="D20" t="s">
        <v>20</v>
      </c>
      <c r="E20" s="3">
        <v>0.27777777777777779</v>
      </c>
      <c r="F20" s="3">
        <v>0.27847222222222223</v>
      </c>
    </row>
    <row r="21" spans="1:6">
      <c r="A21" t="s">
        <v>88</v>
      </c>
      <c r="B21" t="s">
        <v>74</v>
      </c>
      <c r="C21" t="s">
        <v>53</v>
      </c>
      <c r="D21" t="s">
        <v>21</v>
      </c>
      <c r="E21" s="3">
        <v>0.27986111111111112</v>
      </c>
      <c r="F21" s="2" t="s">
        <v>87</v>
      </c>
    </row>
    <row r="22" spans="1:6">
      <c r="A22" t="s">
        <v>93</v>
      </c>
      <c r="B22" t="s">
        <v>74</v>
      </c>
      <c r="C22" t="s">
        <v>53</v>
      </c>
      <c r="D22" t="s">
        <v>8</v>
      </c>
      <c r="E22" s="2" t="s">
        <v>87</v>
      </c>
      <c r="F22" s="5">
        <v>0.26874999999999999</v>
      </c>
    </row>
    <row r="23" spans="1:6">
      <c r="A23" t="s">
        <v>93</v>
      </c>
      <c r="B23" t="s">
        <v>74</v>
      </c>
      <c r="C23" t="s">
        <v>53</v>
      </c>
      <c r="D23" t="s">
        <v>9</v>
      </c>
      <c r="E23" s="3">
        <v>0.26944444444444443</v>
      </c>
      <c r="F23" s="5">
        <v>0.27013888888888887</v>
      </c>
    </row>
    <row r="24" spans="1:6">
      <c r="A24" t="s">
        <v>93</v>
      </c>
      <c r="B24" t="s">
        <v>74</v>
      </c>
      <c r="C24" t="s">
        <v>53</v>
      </c>
      <c r="D24" t="s">
        <v>10</v>
      </c>
      <c r="E24" s="3">
        <v>0.27152777777777776</v>
      </c>
      <c r="F24" s="5">
        <v>0.2722222222222222</v>
      </c>
    </row>
    <row r="25" spans="1:6">
      <c r="A25" t="s">
        <v>93</v>
      </c>
      <c r="B25" t="s">
        <v>74</v>
      </c>
      <c r="C25" t="s">
        <v>53</v>
      </c>
      <c r="D25" t="s">
        <v>11</v>
      </c>
      <c r="E25" s="3">
        <v>0.27291666666666664</v>
      </c>
      <c r="F25" s="5">
        <v>0.27291666666666664</v>
      </c>
    </row>
    <row r="26" spans="1:6">
      <c r="A26" t="s">
        <v>93</v>
      </c>
      <c r="B26" t="s">
        <v>74</v>
      </c>
      <c r="C26" t="s">
        <v>53</v>
      </c>
      <c r="D26" t="s">
        <v>12</v>
      </c>
      <c r="E26" s="3">
        <v>0.27430555555555558</v>
      </c>
      <c r="F26" s="5">
        <v>0.27430555555555558</v>
      </c>
    </row>
    <row r="27" spans="1:6">
      <c r="A27" t="s">
        <v>93</v>
      </c>
      <c r="B27" t="s">
        <v>74</v>
      </c>
      <c r="C27" t="s">
        <v>53</v>
      </c>
      <c r="D27" t="s">
        <v>13</v>
      </c>
      <c r="E27" s="3">
        <v>0.27569444444444446</v>
      </c>
      <c r="F27" s="5">
        <v>0.27569444444444446</v>
      </c>
    </row>
    <row r="28" spans="1:6">
      <c r="A28" t="s">
        <v>93</v>
      </c>
      <c r="B28" t="s">
        <v>74</v>
      </c>
      <c r="C28" t="s">
        <v>53</v>
      </c>
      <c r="D28" t="s">
        <v>14</v>
      </c>
      <c r="E28" s="3">
        <v>0.27708333333333335</v>
      </c>
      <c r="F28" s="5">
        <v>0.27777777777777779</v>
      </c>
    </row>
    <row r="29" spans="1:6">
      <c r="A29" t="s">
        <v>93</v>
      </c>
      <c r="B29" t="s">
        <v>74</v>
      </c>
      <c r="C29" t="s">
        <v>53</v>
      </c>
      <c r="D29" t="s">
        <v>19</v>
      </c>
      <c r="E29" s="3">
        <v>0.27916666666666667</v>
      </c>
      <c r="F29" s="5">
        <v>0.27916666666666667</v>
      </c>
    </row>
    <row r="30" spans="1:6">
      <c r="A30" t="s">
        <v>93</v>
      </c>
      <c r="B30" t="s">
        <v>74</v>
      </c>
      <c r="C30" t="s">
        <v>53</v>
      </c>
      <c r="D30" t="s">
        <v>20</v>
      </c>
      <c r="E30" s="3">
        <v>0.28055555555555556</v>
      </c>
      <c r="F30" s="5">
        <v>0.28125</v>
      </c>
    </row>
    <row r="31" spans="1:6">
      <c r="A31" t="s">
        <v>93</v>
      </c>
      <c r="B31" t="s">
        <v>74</v>
      </c>
      <c r="C31" t="s">
        <v>53</v>
      </c>
      <c r="D31" t="s">
        <v>21</v>
      </c>
      <c r="E31" s="3">
        <v>0.28263888888888888</v>
      </c>
      <c r="F31" s="2" t="s">
        <v>87</v>
      </c>
    </row>
    <row r="32" spans="1:6">
      <c r="A32" t="s">
        <v>94</v>
      </c>
      <c r="B32" t="s">
        <v>74</v>
      </c>
      <c r="C32" t="s">
        <v>53</v>
      </c>
      <c r="D32" t="s">
        <v>8</v>
      </c>
      <c r="E32" s="2" t="s">
        <v>87</v>
      </c>
      <c r="F32" s="5">
        <v>0.27361111111111114</v>
      </c>
    </row>
    <row r="33" spans="1:6">
      <c r="A33" t="s">
        <v>94</v>
      </c>
      <c r="B33" t="s">
        <v>74</v>
      </c>
      <c r="C33" t="s">
        <v>53</v>
      </c>
      <c r="D33" t="s">
        <v>9</v>
      </c>
      <c r="E33" s="3">
        <v>0.27500000000000002</v>
      </c>
      <c r="F33" s="5">
        <v>0.27500000000000002</v>
      </c>
    </row>
    <row r="34" spans="1:6">
      <c r="A34" t="s">
        <v>94</v>
      </c>
      <c r="B34" t="s">
        <v>74</v>
      </c>
      <c r="C34" t="s">
        <v>53</v>
      </c>
      <c r="D34" t="s">
        <v>10</v>
      </c>
      <c r="E34" s="3">
        <v>0.27708333333333335</v>
      </c>
      <c r="F34" s="5">
        <v>0.27777777777777779</v>
      </c>
    </row>
    <row r="35" spans="1:6">
      <c r="A35" t="s">
        <v>94</v>
      </c>
      <c r="B35" t="s">
        <v>74</v>
      </c>
      <c r="C35" t="s">
        <v>53</v>
      </c>
      <c r="D35" t="s">
        <v>11</v>
      </c>
      <c r="E35" s="3">
        <v>0.27916666666666667</v>
      </c>
      <c r="F35" s="5">
        <v>0.27916666666666667</v>
      </c>
    </row>
    <row r="36" spans="1:6">
      <c r="A36" t="s">
        <v>94</v>
      </c>
      <c r="B36" t="s">
        <v>74</v>
      </c>
      <c r="C36" t="s">
        <v>53</v>
      </c>
      <c r="D36" t="s">
        <v>12</v>
      </c>
      <c r="E36" s="3">
        <v>0.28055555555555556</v>
      </c>
      <c r="F36" s="5">
        <v>0.28055555555555556</v>
      </c>
    </row>
    <row r="37" spans="1:6">
      <c r="A37" t="s">
        <v>94</v>
      </c>
      <c r="B37" t="s">
        <v>74</v>
      </c>
      <c r="C37" t="s">
        <v>53</v>
      </c>
      <c r="D37" t="s">
        <v>13</v>
      </c>
      <c r="E37" s="3">
        <v>0.28194444444444444</v>
      </c>
      <c r="F37" s="5">
        <v>0.28194444444444444</v>
      </c>
    </row>
    <row r="38" spans="1:6">
      <c r="A38" t="s">
        <v>94</v>
      </c>
      <c r="B38" t="s">
        <v>74</v>
      </c>
      <c r="C38" t="s">
        <v>53</v>
      </c>
      <c r="D38" t="s">
        <v>14</v>
      </c>
      <c r="E38" s="3">
        <v>0.28333333333333333</v>
      </c>
      <c r="F38" s="5">
        <v>0.28402777777777777</v>
      </c>
    </row>
    <row r="39" spans="1:6">
      <c r="A39" t="s">
        <v>94</v>
      </c>
      <c r="B39" t="s">
        <v>74</v>
      </c>
      <c r="C39" t="s">
        <v>53</v>
      </c>
      <c r="D39" t="s">
        <v>19</v>
      </c>
      <c r="E39" s="3">
        <v>0.28541666666666665</v>
      </c>
      <c r="F39" s="5">
        <v>0.28611111111111109</v>
      </c>
    </row>
    <row r="40" spans="1:6">
      <c r="A40" t="s">
        <v>94</v>
      </c>
      <c r="B40" t="s">
        <v>74</v>
      </c>
      <c r="C40" t="s">
        <v>53</v>
      </c>
      <c r="D40" t="s">
        <v>20</v>
      </c>
      <c r="E40" s="3">
        <v>0.28749999999999998</v>
      </c>
      <c r="F40" s="5">
        <v>0.28819444444444442</v>
      </c>
    </row>
    <row r="41" spans="1:6">
      <c r="A41" t="s">
        <v>94</v>
      </c>
      <c r="B41" t="s">
        <v>74</v>
      </c>
      <c r="C41" t="s">
        <v>53</v>
      </c>
      <c r="D41" t="s">
        <v>21</v>
      </c>
      <c r="E41" s="3">
        <v>0.28958333333333336</v>
      </c>
      <c r="F41" s="2" t="s">
        <v>87</v>
      </c>
    </row>
    <row r="42" spans="1:6">
      <c r="A42" t="s">
        <v>95</v>
      </c>
      <c r="B42" t="s">
        <v>74</v>
      </c>
      <c r="C42" t="s">
        <v>53</v>
      </c>
      <c r="D42" t="s">
        <v>8</v>
      </c>
      <c r="E42" s="2" t="s">
        <v>87</v>
      </c>
      <c r="F42" s="5">
        <v>0.27986111111111112</v>
      </c>
    </row>
    <row r="43" spans="1:6">
      <c r="A43" t="s">
        <v>95</v>
      </c>
      <c r="B43" t="s">
        <v>74</v>
      </c>
      <c r="C43" t="s">
        <v>53</v>
      </c>
      <c r="D43" t="s">
        <v>9</v>
      </c>
      <c r="E43" s="3">
        <v>0.28125</v>
      </c>
      <c r="F43" s="5">
        <v>0.28125</v>
      </c>
    </row>
    <row r="44" spans="1:6">
      <c r="A44" t="s">
        <v>95</v>
      </c>
      <c r="B44" t="s">
        <v>74</v>
      </c>
      <c r="C44" t="s">
        <v>53</v>
      </c>
      <c r="D44" t="s">
        <v>10</v>
      </c>
      <c r="E44" s="3">
        <v>0.28263888888888888</v>
      </c>
      <c r="F44" s="5">
        <v>0.28333333333333333</v>
      </c>
    </row>
    <row r="45" spans="1:6">
      <c r="A45" t="s">
        <v>95</v>
      </c>
      <c r="B45" t="s">
        <v>74</v>
      </c>
      <c r="C45" t="s">
        <v>53</v>
      </c>
      <c r="D45" t="s">
        <v>11</v>
      </c>
      <c r="E45" s="3">
        <v>0.28472222222222221</v>
      </c>
      <c r="F45" s="5">
        <v>0.28472222222222221</v>
      </c>
    </row>
    <row r="46" spans="1:6">
      <c r="A46" t="s">
        <v>95</v>
      </c>
      <c r="B46" t="s">
        <v>74</v>
      </c>
      <c r="C46" t="s">
        <v>53</v>
      </c>
      <c r="D46" t="s">
        <v>12</v>
      </c>
      <c r="E46" s="3">
        <v>0.28611111111111109</v>
      </c>
      <c r="F46" s="5">
        <v>0.28611111111111109</v>
      </c>
    </row>
    <row r="47" spans="1:6">
      <c r="A47" t="s">
        <v>95</v>
      </c>
      <c r="B47" t="s">
        <v>74</v>
      </c>
      <c r="C47" t="s">
        <v>53</v>
      </c>
      <c r="D47" t="s">
        <v>13</v>
      </c>
      <c r="E47" s="3">
        <v>0.28749999999999998</v>
      </c>
      <c r="F47" s="5">
        <v>0.28749999999999998</v>
      </c>
    </row>
    <row r="48" spans="1:6">
      <c r="A48" t="s">
        <v>95</v>
      </c>
      <c r="B48" t="s">
        <v>74</v>
      </c>
      <c r="C48" t="s">
        <v>53</v>
      </c>
      <c r="D48" t="s">
        <v>14</v>
      </c>
      <c r="E48" s="3">
        <v>0.28888888888888886</v>
      </c>
      <c r="F48" s="5">
        <v>0.28958333333333336</v>
      </c>
    </row>
    <row r="49" spans="1:6">
      <c r="A49" t="s">
        <v>95</v>
      </c>
      <c r="B49" t="s">
        <v>74</v>
      </c>
      <c r="C49" t="s">
        <v>53</v>
      </c>
      <c r="D49" t="s">
        <v>19</v>
      </c>
      <c r="E49" s="3">
        <v>0.29097222222222224</v>
      </c>
      <c r="F49" s="5">
        <v>0.29166666666666669</v>
      </c>
    </row>
    <row r="50" spans="1:6">
      <c r="A50" t="s">
        <v>95</v>
      </c>
      <c r="B50" t="s">
        <v>74</v>
      </c>
      <c r="C50" t="s">
        <v>53</v>
      </c>
      <c r="D50" t="s">
        <v>20</v>
      </c>
      <c r="E50" s="3">
        <v>0.29305555555555557</v>
      </c>
      <c r="F50" s="5">
        <v>0.29375000000000001</v>
      </c>
    </row>
    <row r="51" spans="1:6">
      <c r="A51" t="s">
        <v>95</v>
      </c>
      <c r="B51" t="s">
        <v>74</v>
      </c>
      <c r="C51" t="s">
        <v>53</v>
      </c>
      <c r="D51" t="s">
        <v>21</v>
      </c>
      <c r="E51" s="3">
        <v>0.2951388888888889</v>
      </c>
      <c r="F51" s="2" t="s">
        <v>87</v>
      </c>
    </row>
    <row r="52" spans="1:6">
      <c r="A52" t="s">
        <v>96</v>
      </c>
      <c r="B52" t="s">
        <v>74</v>
      </c>
      <c r="C52" t="s">
        <v>53</v>
      </c>
      <c r="D52" t="s">
        <v>8</v>
      </c>
      <c r="E52" s="2" t="s">
        <v>87</v>
      </c>
      <c r="F52" s="5">
        <v>0.28194444444444444</v>
      </c>
    </row>
    <row r="53" spans="1:6">
      <c r="A53" t="s">
        <v>96</v>
      </c>
      <c r="B53" t="s">
        <v>74</v>
      </c>
      <c r="C53" t="s">
        <v>53</v>
      </c>
      <c r="D53" t="s">
        <v>9</v>
      </c>
      <c r="E53" s="3">
        <v>0.28333333333333333</v>
      </c>
      <c r="F53" s="5">
        <v>0.28333333333333333</v>
      </c>
    </row>
    <row r="54" spans="1:6">
      <c r="A54" t="s">
        <v>96</v>
      </c>
      <c r="B54" t="s">
        <v>74</v>
      </c>
      <c r="C54" t="s">
        <v>53</v>
      </c>
      <c r="D54" t="s">
        <v>10</v>
      </c>
      <c r="E54" s="3">
        <v>0.28541666666666665</v>
      </c>
      <c r="F54" s="5">
        <v>0.28541666666666665</v>
      </c>
    </row>
    <row r="55" spans="1:6">
      <c r="A55" t="s">
        <v>96</v>
      </c>
      <c r="B55" t="s">
        <v>74</v>
      </c>
      <c r="C55" t="s">
        <v>53</v>
      </c>
      <c r="D55" t="s">
        <v>11</v>
      </c>
      <c r="E55" s="3">
        <v>0.28680555555555554</v>
      </c>
      <c r="F55" s="5">
        <v>0.28680555555555554</v>
      </c>
    </row>
    <row r="56" spans="1:6">
      <c r="A56" t="s">
        <v>96</v>
      </c>
      <c r="B56" t="s">
        <v>74</v>
      </c>
      <c r="C56" t="s">
        <v>53</v>
      </c>
      <c r="D56" t="s">
        <v>12</v>
      </c>
      <c r="E56" s="3">
        <v>0.28819444444444442</v>
      </c>
      <c r="F56" s="5">
        <v>0.28888888888888886</v>
      </c>
    </row>
    <row r="57" spans="1:6">
      <c r="A57" t="s">
        <v>96</v>
      </c>
      <c r="B57" t="s">
        <v>74</v>
      </c>
      <c r="C57" t="s">
        <v>53</v>
      </c>
      <c r="D57" t="s">
        <v>13</v>
      </c>
      <c r="E57" s="3">
        <v>0.28958333333333336</v>
      </c>
      <c r="F57" s="5">
        <v>0.28958333333333336</v>
      </c>
    </row>
    <row r="58" spans="1:6">
      <c r="A58" t="s">
        <v>96</v>
      </c>
      <c r="B58" t="s">
        <v>74</v>
      </c>
      <c r="C58" t="s">
        <v>53</v>
      </c>
      <c r="D58" t="s">
        <v>14</v>
      </c>
      <c r="E58" s="3">
        <v>0.29097222222222224</v>
      </c>
      <c r="F58" s="5">
        <v>0.29166666666666669</v>
      </c>
    </row>
    <row r="59" spans="1:6">
      <c r="A59" t="s">
        <v>96</v>
      </c>
      <c r="B59" t="s">
        <v>74</v>
      </c>
      <c r="C59" t="s">
        <v>53</v>
      </c>
      <c r="D59" t="s">
        <v>19</v>
      </c>
      <c r="E59" s="3">
        <v>0.29305555555555557</v>
      </c>
      <c r="F59" s="5">
        <v>0.29375000000000001</v>
      </c>
    </row>
    <row r="60" spans="1:6">
      <c r="A60" t="s">
        <v>96</v>
      </c>
      <c r="B60" t="s">
        <v>74</v>
      </c>
      <c r="C60" t="s">
        <v>53</v>
      </c>
      <c r="D60" t="s">
        <v>20</v>
      </c>
      <c r="E60" s="3">
        <v>0.29583333333333334</v>
      </c>
      <c r="F60" s="5">
        <v>0.29583333333333334</v>
      </c>
    </row>
    <row r="61" spans="1:6">
      <c r="A61" t="s">
        <v>96</v>
      </c>
      <c r="B61" t="s">
        <v>74</v>
      </c>
      <c r="C61" t="s">
        <v>53</v>
      </c>
      <c r="D61" t="s">
        <v>21</v>
      </c>
      <c r="E61" s="3">
        <v>0.29722222222222222</v>
      </c>
      <c r="F61" s="2" t="s">
        <v>87</v>
      </c>
    </row>
    <row r="62" spans="1:6">
      <c r="A62" t="s">
        <v>97</v>
      </c>
      <c r="B62" t="s">
        <v>74</v>
      </c>
      <c r="C62" t="s">
        <v>53</v>
      </c>
      <c r="D62" t="s">
        <v>8</v>
      </c>
      <c r="E62" s="2" t="s">
        <v>87</v>
      </c>
      <c r="F62" s="5">
        <v>0.28749999999999998</v>
      </c>
    </row>
    <row r="63" spans="1:6">
      <c r="A63" t="s">
        <v>97</v>
      </c>
      <c r="B63" t="s">
        <v>74</v>
      </c>
      <c r="C63" t="s">
        <v>53</v>
      </c>
      <c r="D63" t="s">
        <v>9</v>
      </c>
      <c r="E63" s="3">
        <v>0.28888888888888886</v>
      </c>
      <c r="F63" s="5">
        <v>0.28958333333333336</v>
      </c>
    </row>
    <row r="64" spans="1:6">
      <c r="A64" t="s">
        <v>97</v>
      </c>
      <c r="B64" t="s">
        <v>74</v>
      </c>
      <c r="C64" t="s">
        <v>53</v>
      </c>
      <c r="D64" t="s">
        <v>10</v>
      </c>
      <c r="E64" s="3">
        <v>0.29166666666666669</v>
      </c>
      <c r="F64" s="5">
        <v>0.29166666666666669</v>
      </c>
    </row>
    <row r="65" spans="1:6">
      <c r="A65" t="s">
        <v>97</v>
      </c>
      <c r="B65" t="s">
        <v>74</v>
      </c>
      <c r="C65" t="s">
        <v>53</v>
      </c>
      <c r="D65" t="s">
        <v>11</v>
      </c>
      <c r="E65" s="3">
        <v>0.29305555555555557</v>
      </c>
      <c r="F65" s="5">
        <v>0.29305555555555557</v>
      </c>
    </row>
    <row r="66" spans="1:6">
      <c r="A66" t="s">
        <v>97</v>
      </c>
      <c r="B66" t="s">
        <v>74</v>
      </c>
      <c r="C66" t="s">
        <v>53</v>
      </c>
      <c r="D66" t="s">
        <v>12</v>
      </c>
      <c r="E66" s="3">
        <v>0.29444444444444445</v>
      </c>
      <c r="F66" s="5">
        <v>0.2951388888888889</v>
      </c>
    </row>
    <row r="67" spans="1:6">
      <c r="A67" t="s">
        <v>97</v>
      </c>
      <c r="B67" t="s">
        <v>74</v>
      </c>
      <c r="C67" t="s">
        <v>53</v>
      </c>
      <c r="D67" t="s">
        <v>13</v>
      </c>
      <c r="E67" s="3">
        <v>0.29583333333333334</v>
      </c>
      <c r="F67" s="5">
        <v>0.29583333333333334</v>
      </c>
    </row>
    <row r="68" spans="1:6">
      <c r="A68" t="s">
        <v>97</v>
      </c>
      <c r="B68" t="s">
        <v>74</v>
      </c>
      <c r="C68" t="s">
        <v>53</v>
      </c>
      <c r="D68" t="s">
        <v>14</v>
      </c>
      <c r="E68" s="3">
        <v>0.29722222222222222</v>
      </c>
      <c r="F68" s="5">
        <v>0.29791666666666666</v>
      </c>
    </row>
    <row r="69" spans="1:6">
      <c r="A69" t="s">
        <v>97</v>
      </c>
      <c r="B69" t="s">
        <v>74</v>
      </c>
      <c r="C69" t="s">
        <v>53</v>
      </c>
      <c r="D69" t="s">
        <v>19</v>
      </c>
      <c r="E69" s="3">
        <v>0.29930555555555555</v>
      </c>
      <c r="F69" s="5">
        <v>0.3</v>
      </c>
    </row>
    <row r="70" spans="1:6">
      <c r="A70" t="s">
        <v>97</v>
      </c>
      <c r="B70" t="s">
        <v>74</v>
      </c>
      <c r="C70" t="s">
        <v>53</v>
      </c>
      <c r="D70" t="s">
        <v>20</v>
      </c>
      <c r="E70" s="3">
        <v>0.30208333333333331</v>
      </c>
      <c r="F70" s="5">
        <v>0.30208333333333331</v>
      </c>
    </row>
    <row r="71" spans="1:6">
      <c r="A71" t="s">
        <v>97</v>
      </c>
      <c r="B71" t="s">
        <v>74</v>
      </c>
      <c r="C71" t="s">
        <v>53</v>
      </c>
      <c r="D71" t="s">
        <v>21</v>
      </c>
      <c r="E71" s="3">
        <v>0.3034722222222222</v>
      </c>
      <c r="F71" s="2" t="s">
        <v>87</v>
      </c>
    </row>
    <row r="72" spans="1:6">
      <c r="A72" t="s">
        <v>98</v>
      </c>
      <c r="B72" t="s">
        <v>74</v>
      </c>
      <c r="C72" t="s">
        <v>53</v>
      </c>
      <c r="D72" t="s">
        <v>8</v>
      </c>
      <c r="E72" s="2" t="s">
        <v>87</v>
      </c>
      <c r="F72" s="5">
        <v>0.28749999999999998</v>
      </c>
    </row>
    <row r="73" spans="1:6">
      <c r="A73" t="s">
        <v>97</v>
      </c>
      <c r="B73" t="s">
        <v>74</v>
      </c>
      <c r="C73" t="s">
        <v>53</v>
      </c>
      <c r="D73" t="s">
        <v>9</v>
      </c>
      <c r="E73" s="3">
        <v>0.28888888888888886</v>
      </c>
      <c r="F73" s="5">
        <v>0.28958333333333336</v>
      </c>
    </row>
    <row r="74" spans="1:6">
      <c r="A74" t="s">
        <v>97</v>
      </c>
      <c r="B74" t="s">
        <v>74</v>
      </c>
      <c r="C74" t="s">
        <v>53</v>
      </c>
      <c r="D74" t="s">
        <v>10</v>
      </c>
      <c r="E74" s="3">
        <v>0.29166666666666669</v>
      </c>
      <c r="F74" s="5">
        <v>0.29166666666666669</v>
      </c>
    </row>
    <row r="75" spans="1:6">
      <c r="A75" t="s">
        <v>97</v>
      </c>
      <c r="B75" t="s">
        <v>74</v>
      </c>
      <c r="C75" t="s">
        <v>53</v>
      </c>
      <c r="D75" t="s">
        <v>11</v>
      </c>
      <c r="E75" s="3">
        <v>0.29305555555555557</v>
      </c>
      <c r="F75" s="5">
        <v>0.29305555555555557</v>
      </c>
    </row>
    <row r="76" spans="1:6">
      <c r="A76" t="s">
        <v>97</v>
      </c>
      <c r="B76" t="s">
        <v>74</v>
      </c>
      <c r="C76" t="s">
        <v>53</v>
      </c>
      <c r="D76" t="s">
        <v>12</v>
      </c>
      <c r="E76" s="3">
        <v>0.29444444444444445</v>
      </c>
      <c r="F76" s="5">
        <v>0.2951388888888889</v>
      </c>
    </row>
    <row r="77" spans="1:6">
      <c r="A77" t="s">
        <v>97</v>
      </c>
      <c r="B77" t="s">
        <v>74</v>
      </c>
      <c r="C77" t="s">
        <v>53</v>
      </c>
      <c r="D77" t="s">
        <v>13</v>
      </c>
      <c r="E77" s="3">
        <v>0.29583333333333334</v>
      </c>
      <c r="F77" s="5">
        <v>0.29583333333333334</v>
      </c>
    </row>
    <row r="78" spans="1:6">
      <c r="A78" t="s">
        <v>97</v>
      </c>
      <c r="B78" t="s">
        <v>74</v>
      </c>
      <c r="C78" t="s">
        <v>53</v>
      </c>
      <c r="D78" t="s">
        <v>14</v>
      </c>
      <c r="E78" s="3">
        <v>0.29722222222222222</v>
      </c>
      <c r="F78" s="5">
        <v>0.29791666666666666</v>
      </c>
    </row>
    <row r="79" spans="1:6">
      <c r="A79" t="s">
        <v>97</v>
      </c>
      <c r="B79" t="s">
        <v>74</v>
      </c>
      <c r="C79" t="s">
        <v>53</v>
      </c>
      <c r="D79" t="s">
        <v>19</v>
      </c>
      <c r="E79" s="3">
        <v>0.29930555555555555</v>
      </c>
      <c r="F79" s="5">
        <v>0.3</v>
      </c>
    </row>
    <row r="80" spans="1:6">
      <c r="A80" t="s">
        <v>97</v>
      </c>
      <c r="B80" t="s">
        <v>74</v>
      </c>
      <c r="C80" t="s">
        <v>53</v>
      </c>
      <c r="D80" t="s">
        <v>20</v>
      </c>
      <c r="E80" s="3">
        <v>0.30208333333333331</v>
      </c>
      <c r="F80" s="5">
        <v>0.30208333333333331</v>
      </c>
    </row>
    <row r="81" spans="1:6">
      <c r="A81" t="s">
        <v>97</v>
      </c>
      <c r="B81" t="s">
        <v>74</v>
      </c>
      <c r="C81" t="s">
        <v>53</v>
      </c>
      <c r="D81" t="s">
        <v>21</v>
      </c>
      <c r="E81" s="3">
        <v>0.3034722222222222</v>
      </c>
      <c r="F81" s="2" t="s">
        <v>87</v>
      </c>
    </row>
    <row r="82" spans="1:6">
      <c r="A82" t="s">
        <v>84</v>
      </c>
      <c r="B82" t="s">
        <v>76</v>
      </c>
      <c r="C82" t="s">
        <v>85</v>
      </c>
      <c r="D82" t="s">
        <v>23</v>
      </c>
      <c r="E82" s="2" t="s">
        <v>87</v>
      </c>
      <c r="F82" s="3">
        <v>0.27638888888888891</v>
      </c>
    </row>
    <row r="83" spans="1:6">
      <c r="A83" t="s">
        <v>84</v>
      </c>
      <c r="B83" t="s">
        <v>76</v>
      </c>
      <c r="C83" t="s">
        <v>85</v>
      </c>
      <c r="D83" t="s">
        <v>24</v>
      </c>
      <c r="E83" s="3">
        <v>0.27708333333333335</v>
      </c>
      <c r="F83" s="3">
        <v>0.27777777777777779</v>
      </c>
    </row>
    <row r="84" spans="1:6">
      <c r="A84" t="s">
        <v>84</v>
      </c>
      <c r="B84" t="s">
        <v>76</v>
      </c>
      <c r="C84" t="s">
        <v>85</v>
      </c>
      <c r="D84" t="s">
        <v>35</v>
      </c>
      <c r="E84" s="3">
        <v>0.27916666666666667</v>
      </c>
      <c r="F84" s="3">
        <v>0.27916666666666667</v>
      </c>
    </row>
    <row r="85" spans="1:6">
      <c r="A85" t="s">
        <v>84</v>
      </c>
      <c r="B85" t="s">
        <v>76</v>
      </c>
      <c r="C85" t="s">
        <v>85</v>
      </c>
      <c r="D85" t="s">
        <v>36</v>
      </c>
      <c r="E85" s="3">
        <v>0.28055555555555556</v>
      </c>
      <c r="F85" s="3">
        <v>0.28055555555555556</v>
      </c>
    </row>
    <row r="86" spans="1:6">
      <c r="A86" t="s">
        <v>84</v>
      </c>
      <c r="B86" t="s">
        <v>76</v>
      </c>
      <c r="C86" t="s">
        <v>85</v>
      </c>
      <c r="D86" t="s">
        <v>37</v>
      </c>
      <c r="E86" s="3">
        <v>0.28194444444444444</v>
      </c>
      <c r="F86" s="3">
        <v>0.28263888888888888</v>
      </c>
    </row>
    <row r="87" spans="1:6">
      <c r="A87" t="s">
        <v>84</v>
      </c>
      <c r="B87" t="s">
        <v>76</v>
      </c>
      <c r="C87" t="s">
        <v>85</v>
      </c>
      <c r="D87" t="s">
        <v>38</v>
      </c>
      <c r="E87" s="3">
        <v>0.28402777777777777</v>
      </c>
      <c r="F87" s="3">
        <v>0.28611111111111109</v>
      </c>
    </row>
    <row r="88" spans="1:6">
      <c r="A88" t="s">
        <v>84</v>
      </c>
      <c r="B88" t="s">
        <v>76</v>
      </c>
      <c r="C88" t="s">
        <v>85</v>
      </c>
      <c r="D88" t="s">
        <v>39</v>
      </c>
      <c r="E88" s="3">
        <v>0.28749999999999998</v>
      </c>
      <c r="F88" s="3">
        <v>0.28749999999999998</v>
      </c>
    </row>
    <row r="89" spans="1:6">
      <c r="A89" t="s">
        <v>84</v>
      </c>
      <c r="B89" t="s">
        <v>76</v>
      </c>
      <c r="C89" t="s">
        <v>85</v>
      </c>
      <c r="D89" t="s">
        <v>40</v>
      </c>
      <c r="E89" s="3">
        <v>0.28888888888888886</v>
      </c>
      <c r="F89" s="3">
        <v>0.28888888888888886</v>
      </c>
    </row>
    <row r="90" spans="1:6">
      <c r="A90" t="s">
        <v>84</v>
      </c>
      <c r="B90" t="s">
        <v>76</v>
      </c>
      <c r="C90" t="s">
        <v>85</v>
      </c>
      <c r="D90" t="s">
        <v>41</v>
      </c>
      <c r="E90" s="3">
        <v>0.28958333333333336</v>
      </c>
      <c r="F90" s="3">
        <v>0.2902777777777778</v>
      </c>
    </row>
    <row r="91" spans="1:6">
      <c r="A91" t="s">
        <v>84</v>
      </c>
      <c r="B91" t="s">
        <v>76</v>
      </c>
      <c r="C91" t="s">
        <v>85</v>
      </c>
      <c r="D91" t="s">
        <v>42</v>
      </c>
      <c r="E91" s="3">
        <v>0.29097222222222224</v>
      </c>
      <c r="F91" s="3">
        <v>0.29166666666666669</v>
      </c>
    </row>
    <row r="92" spans="1:6">
      <c r="A92" t="s">
        <v>84</v>
      </c>
      <c r="B92" t="s">
        <v>76</v>
      </c>
      <c r="C92" t="s">
        <v>85</v>
      </c>
      <c r="D92" t="s">
        <v>43</v>
      </c>
      <c r="E92" s="3">
        <v>0.29236111111111113</v>
      </c>
      <c r="F92" s="2" t="s">
        <v>87</v>
      </c>
    </row>
    <row r="93" spans="1:6">
      <c r="A93" t="s">
        <v>84</v>
      </c>
      <c r="B93" t="s">
        <v>76</v>
      </c>
      <c r="C93" t="s">
        <v>85</v>
      </c>
      <c r="D93" t="s">
        <v>44</v>
      </c>
      <c r="E93" s="2" t="s">
        <v>87</v>
      </c>
      <c r="F93" s="3">
        <v>0.29305555555555557</v>
      </c>
    </row>
    <row r="94" spans="1:6">
      <c r="A94" t="s">
        <v>84</v>
      </c>
      <c r="B94" t="s">
        <v>76</v>
      </c>
      <c r="C94" t="s">
        <v>85</v>
      </c>
      <c r="D94" t="s">
        <v>47</v>
      </c>
      <c r="E94" s="3">
        <v>0.29375000000000001</v>
      </c>
      <c r="F94" s="3">
        <v>0.29375000000000001</v>
      </c>
    </row>
    <row r="95" spans="1:6">
      <c r="A95" t="s">
        <v>84</v>
      </c>
      <c r="B95" t="s">
        <v>76</v>
      </c>
      <c r="C95" t="s">
        <v>85</v>
      </c>
      <c r="D95" t="s">
        <v>48</v>
      </c>
      <c r="E95" s="3">
        <v>0.29444444444444445</v>
      </c>
      <c r="F95" s="2" t="s">
        <v>87</v>
      </c>
    </row>
    <row r="96" spans="1:6">
      <c r="A96" t="s">
        <v>86</v>
      </c>
      <c r="B96" t="s">
        <v>77</v>
      </c>
      <c r="C96" t="s">
        <v>85</v>
      </c>
      <c r="D96" t="s">
        <v>23</v>
      </c>
      <c r="E96" s="2" t="s">
        <v>87</v>
      </c>
      <c r="F96" s="3">
        <v>0.27847222222222223</v>
      </c>
    </row>
    <row r="97" spans="1:6">
      <c r="A97" t="s">
        <v>86</v>
      </c>
      <c r="B97" t="s">
        <v>77</v>
      </c>
      <c r="C97" t="s">
        <v>85</v>
      </c>
      <c r="D97" t="s">
        <v>35</v>
      </c>
      <c r="E97" s="3">
        <v>0.28055555555555556</v>
      </c>
      <c r="F97" s="3">
        <v>0.28125</v>
      </c>
    </row>
    <row r="98" spans="1:6">
      <c r="A98" t="s">
        <v>86</v>
      </c>
      <c r="B98" t="s">
        <v>77</v>
      </c>
      <c r="C98" t="s">
        <v>85</v>
      </c>
      <c r="D98" t="s">
        <v>36</v>
      </c>
      <c r="E98" s="3">
        <v>0.28263888888888888</v>
      </c>
      <c r="F98" s="3">
        <v>0.28263888888888888</v>
      </c>
    </row>
    <row r="99" spans="1:6">
      <c r="A99" t="s">
        <v>86</v>
      </c>
      <c r="B99" t="s">
        <v>77</v>
      </c>
      <c r="C99" t="s">
        <v>85</v>
      </c>
      <c r="D99" t="s">
        <v>38</v>
      </c>
      <c r="E99" s="3">
        <v>0.28472222222222221</v>
      </c>
      <c r="F99" s="3">
        <v>0.28472222222222221</v>
      </c>
    </row>
    <row r="100" spans="1:6">
      <c r="A100" t="s">
        <v>86</v>
      </c>
      <c r="B100" t="s">
        <v>77</v>
      </c>
      <c r="C100" t="s">
        <v>85</v>
      </c>
      <c r="D100" t="s">
        <v>43</v>
      </c>
      <c r="E100" s="3">
        <v>0.28888888888888886</v>
      </c>
      <c r="F100" s="2" t="s">
        <v>87</v>
      </c>
    </row>
    <row r="101" spans="1:6">
      <c r="A101" t="s">
        <v>86</v>
      </c>
      <c r="B101" t="s">
        <v>77</v>
      </c>
      <c r="C101" t="s">
        <v>85</v>
      </c>
      <c r="D101" t="s">
        <v>44</v>
      </c>
      <c r="E101" s="2" t="s">
        <v>87</v>
      </c>
      <c r="F101" s="3">
        <v>0.29097222222222224</v>
      </c>
    </row>
    <row r="102" spans="1:6">
      <c r="A102" t="s">
        <v>86</v>
      </c>
      <c r="B102" t="s">
        <v>77</v>
      </c>
      <c r="C102" t="s">
        <v>85</v>
      </c>
      <c r="D102" t="s">
        <v>48</v>
      </c>
      <c r="E102" s="3">
        <v>0.29236111111111113</v>
      </c>
      <c r="F102" s="2" t="s">
        <v>87</v>
      </c>
    </row>
    <row r="103" spans="1:6">
      <c r="A103" t="s">
        <v>89</v>
      </c>
      <c r="B103" t="s">
        <v>76</v>
      </c>
      <c r="C103" t="s">
        <v>85</v>
      </c>
      <c r="D103" t="s">
        <v>23</v>
      </c>
      <c r="E103" s="2" t="s">
        <v>87</v>
      </c>
      <c r="F103" s="3">
        <v>0.28125</v>
      </c>
    </row>
    <row r="104" spans="1:6">
      <c r="A104" t="s">
        <v>89</v>
      </c>
      <c r="B104" t="s">
        <v>76</v>
      </c>
      <c r="C104" t="s">
        <v>85</v>
      </c>
      <c r="D104" t="s">
        <v>35</v>
      </c>
      <c r="E104" s="3">
        <v>0.28402777777777777</v>
      </c>
      <c r="F104" s="3">
        <v>0.28472222222222221</v>
      </c>
    </row>
    <row r="105" spans="1:6">
      <c r="A105" t="s">
        <v>89</v>
      </c>
      <c r="B105" t="s">
        <v>76</v>
      </c>
      <c r="C105" t="s">
        <v>85</v>
      </c>
      <c r="D105" t="s">
        <v>48</v>
      </c>
      <c r="E105" s="3">
        <v>0.30069444444444443</v>
      </c>
      <c r="F105" s="2" t="s">
        <v>87</v>
      </c>
    </row>
    <row r="106" spans="1:6">
      <c r="A106" t="s">
        <v>91</v>
      </c>
      <c r="B106" t="s">
        <v>92</v>
      </c>
      <c r="C106" t="s">
        <v>26</v>
      </c>
      <c r="D106" t="s">
        <v>23</v>
      </c>
      <c r="E106" s="2" t="s">
        <v>87</v>
      </c>
      <c r="F106" s="3">
        <v>0.28194444444444444</v>
      </c>
    </row>
    <row r="107" spans="1:6">
      <c r="A107" t="s">
        <v>91</v>
      </c>
      <c r="B107" t="s">
        <v>92</v>
      </c>
      <c r="C107" t="s">
        <v>26</v>
      </c>
      <c r="D107" t="s">
        <v>35</v>
      </c>
      <c r="E107" s="3">
        <v>0.28472222222222221</v>
      </c>
      <c r="F107" s="2" t="s">
        <v>87</v>
      </c>
    </row>
    <row r="108" spans="1:6">
      <c r="A108" t="s">
        <v>90</v>
      </c>
      <c r="B108" t="s">
        <v>77</v>
      </c>
      <c r="C108" t="s">
        <v>85</v>
      </c>
      <c r="D108" t="s">
        <v>35</v>
      </c>
      <c r="E108" s="2" t="s">
        <v>87</v>
      </c>
      <c r="F108" s="3">
        <v>0.28680555555555554</v>
      </c>
    </row>
    <row r="109" spans="1:6">
      <c r="A109" t="s">
        <v>90</v>
      </c>
      <c r="B109" t="s">
        <v>77</v>
      </c>
      <c r="C109" t="s">
        <v>85</v>
      </c>
      <c r="D109" t="s">
        <v>36</v>
      </c>
      <c r="E109" s="5">
        <v>0.28819444444444442</v>
      </c>
      <c r="F109" s="3">
        <v>0.28819444444444442</v>
      </c>
    </row>
    <row r="110" spans="1:6">
      <c r="A110" t="s">
        <v>90</v>
      </c>
      <c r="B110" t="s">
        <v>77</v>
      </c>
      <c r="C110" t="s">
        <v>85</v>
      </c>
      <c r="D110" t="s">
        <v>38</v>
      </c>
      <c r="E110" s="5">
        <v>0.2902777777777778</v>
      </c>
      <c r="F110" s="3">
        <v>0.29097222222222224</v>
      </c>
    </row>
    <row r="111" spans="1:6">
      <c r="A111" t="s">
        <v>90</v>
      </c>
      <c r="B111" t="s">
        <v>77</v>
      </c>
      <c r="C111" t="s">
        <v>85</v>
      </c>
      <c r="D111" t="s">
        <v>43</v>
      </c>
      <c r="E111" s="5">
        <v>0.2951388888888889</v>
      </c>
      <c r="F111" s="2" t="s">
        <v>87</v>
      </c>
    </row>
    <row r="112" spans="1:6">
      <c r="A112" t="s">
        <v>90</v>
      </c>
      <c r="B112" t="s">
        <v>77</v>
      </c>
      <c r="C112" t="s">
        <v>85</v>
      </c>
      <c r="D112" t="s">
        <v>44</v>
      </c>
      <c r="E112" s="2" t="s">
        <v>87</v>
      </c>
      <c r="F112" s="3">
        <v>0.29583333333333334</v>
      </c>
    </row>
    <row r="113" spans="1:6">
      <c r="A113" t="s">
        <v>90</v>
      </c>
      <c r="B113" t="s">
        <v>77</v>
      </c>
      <c r="C113" t="s">
        <v>85</v>
      </c>
      <c r="D113" t="s">
        <v>48</v>
      </c>
      <c r="E113" s="3">
        <v>0.29791666666666666</v>
      </c>
      <c r="F113" s="2" t="s">
        <v>87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opLeftCell="A7" workbookViewId="0">
      <selection activeCell="A22" sqref="A22:A23"/>
    </sheetView>
  </sheetViews>
  <sheetFormatPr defaultRowHeight="18"/>
  <cols>
    <col min="1" max="1" width="7" bestFit="1" customWidth="1"/>
    <col min="2" max="2" width="13" bestFit="1" customWidth="1"/>
    <col min="3" max="3" width="8.75" bestFit="1" customWidth="1"/>
  </cols>
  <sheetData>
    <row r="1" spans="1:4">
      <c r="A1" t="s">
        <v>7</v>
      </c>
      <c r="B1" t="s">
        <v>0</v>
      </c>
      <c r="C1" t="s">
        <v>49</v>
      </c>
      <c r="D1" t="s">
        <v>22</v>
      </c>
    </row>
    <row r="2" spans="1:4">
      <c r="A2" t="s">
        <v>8</v>
      </c>
      <c r="B2" t="s">
        <v>1</v>
      </c>
      <c r="C2">
        <v>0</v>
      </c>
      <c r="D2">
        <v>20.8</v>
      </c>
    </row>
    <row r="3" spans="1:4">
      <c r="A3" t="s">
        <v>9</v>
      </c>
      <c r="B3" t="s">
        <v>2</v>
      </c>
      <c r="C3">
        <f>D2-D3</f>
        <v>1.3000000000000007</v>
      </c>
      <c r="D3">
        <v>19.5</v>
      </c>
    </row>
    <row r="4" spans="1:4">
      <c r="A4" t="s">
        <v>10</v>
      </c>
      <c r="B4" t="s">
        <v>3</v>
      </c>
      <c r="C4">
        <f t="shared" ref="C4:C11" si="0">D3-D4</f>
        <v>2.1999999999999993</v>
      </c>
      <c r="D4">
        <v>17.3</v>
      </c>
    </row>
    <row r="5" spans="1:4">
      <c r="A5" t="s">
        <v>11</v>
      </c>
      <c r="B5" t="s">
        <v>4</v>
      </c>
      <c r="C5">
        <f t="shared" si="0"/>
        <v>1.1000000000000014</v>
      </c>
      <c r="D5">
        <v>16.2</v>
      </c>
    </row>
    <row r="6" spans="1:4">
      <c r="A6" t="s">
        <v>12</v>
      </c>
      <c r="B6" t="s">
        <v>5</v>
      </c>
      <c r="C6">
        <f t="shared" si="0"/>
        <v>1.2999999999999989</v>
      </c>
      <c r="D6">
        <v>14.9</v>
      </c>
    </row>
    <row r="7" spans="1:4">
      <c r="A7" t="s">
        <v>13</v>
      </c>
      <c r="B7" t="s">
        <v>6</v>
      </c>
      <c r="C7">
        <f t="shared" si="0"/>
        <v>1</v>
      </c>
      <c r="D7">
        <v>13.9</v>
      </c>
    </row>
    <row r="8" spans="1:4">
      <c r="A8" t="s">
        <v>14</v>
      </c>
      <c r="B8" t="s">
        <v>15</v>
      </c>
      <c r="C8">
        <f t="shared" si="0"/>
        <v>1.2000000000000011</v>
      </c>
      <c r="D8">
        <v>12.7</v>
      </c>
    </row>
    <row r="9" spans="1:4">
      <c r="A9" t="s">
        <v>19</v>
      </c>
      <c r="B9" t="s">
        <v>16</v>
      </c>
      <c r="C9">
        <f t="shared" si="0"/>
        <v>2.1999999999999993</v>
      </c>
      <c r="D9">
        <v>10.5</v>
      </c>
    </row>
    <row r="10" spans="1:4">
      <c r="A10" t="s">
        <v>20</v>
      </c>
      <c r="B10" t="s">
        <v>17</v>
      </c>
      <c r="C10">
        <f t="shared" si="0"/>
        <v>1.3000000000000007</v>
      </c>
      <c r="D10">
        <v>9.1999999999999993</v>
      </c>
    </row>
    <row r="11" spans="1:4">
      <c r="A11" t="s">
        <v>21</v>
      </c>
      <c r="B11" t="s">
        <v>18</v>
      </c>
      <c r="C11">
        <f t="shared" si="0"/>
        <v>1.6999999999999993</v>
      </c>
      <c r="D11">
        <v>7.5</v>
      </c>
    </row>
    <row r="12" spans="1:4">
      <c r="A12" t="s">
        <v>23</v>
      </c>
      <c r="B12" t="s">
        <v>18</v>
      </c>
      <c r="C12">
        <v>0</v>
      </c>
      <c r="D12">
        <v>10.8</v>
      </c>
    </row>
    <row r="13" spans="1:4">
      <c r="A13" t="s">
        <v>24</v>
      </c>
      <c r="B13" t="s">
        <v>25</v>
      </c>
      <c r="C13">
        <f>D13-D12</f>
        <v>1.2999999999999989</v>
      </c>
      <c r="D13">
        <v>12.1</v>
      </c>
    </row>
    <row r="14" spans="1:4">
      <c r="A14" t="s">
        <v>35</v>
      </c>
      <c r="B14" t="s">
        <v>26</v>
      </c>
      <c r="C14">
        <f t="shared" ref="C14:C25" si="1">D14-D13</f>
        <v>1.5</v>
      </c>
      <c r="D14">
        <v>13.6</v>
      </c>
    </row>
    <row r="15" spans="1:4">
      <c r="A15" t="s">
        <v>36</v>
      </c>
      <c r="B15" t="s">
        <v>27</v>
      </c>
      <c r="C15">
        <f t="shared" si="1"/>
        <v>2.2000000000000011</v>
      </c>
      <c r="D15">
        <v>15.8</v>
      </c>
    </row>
    <row r="16" spans="1:4">
      <c r="A16" t="s">
        <v>37</v>
      </c>
      <c r="B16" t="s">
        <v>28</v>
      </c>
      <c r="C16">
        <f t="shared" si="1"/>
        <v>1.6999999999999993</v>
      </c>
      <c r="D16">
        <v>17.5</v>
      </c>
    </row>
    <row r="17" spans="1:4">
      <c r="A17" t="s">
        <v>38</v>
      </c>
      <c r="B17" t="s">
        <v>29</v>
      </c>
      <c r="C17">
        <f t="shared" si="1"/>
        <v>1.3000000000000007</v>
      </c>
      <c r="D17">
        <v>18.8</v>
      </c>
    </row>
    <row r="18" spans="1:4">
      <c r="A18" t="s">
        <v>39</v>
      </c>
      <c r="B18" t="s">
        <v>30</v>
      </c>
      <c r="C18">
        <f t="shared" si="1"/>
        <v>1.3999999999999986</v>
      </c>
      <c r="D18">
        <v>20.2</v>
      </c>
    </row>
    <row r="19" spans="1:4">
      <c r="A19" t="s">
        <v>40</v>
      </c>
      <c r="B19" t="s">
        <v>31</v>
      </c>
      <c r="C19">
        <f t="shared" si="1"/>
        <v>1.1999999999999993</v>
      </c>
      <c r="D19">
        <v>21.4</v>
      </c>
    </row>
    <row r="20" spans="1:4">
      <c r="A20" t="s">
        <v>41</v>
      </c>
      <c r="B20" t="s">
        <v>32</v>
      </c>
      <c r="C20">
        <f t="shared" si="1"/>
        <v>0.70000000000000284</v>
      </c>
      <c r="D20">
        <v>22.1</v>
      </c>
    </row>
    <row r="21" spans="1:4">
      <c r="A21" t="s">
        <v>42</v>
      </c>
      <c r="B21" t="s">
        <v>33</v>
      </c>
      <c r="C21">
        <f t="shared" si="1"/>
        <v>1.1999999999999993</v>
      </c>
      <c r="D21">
        <v>23.3</v>
      </c>
    </row>
    <row r="22" spans="1:4">
      <c r="A22" t="s">
        <v>43</v>
      </c>
      <c r="B22" t="s">
        <v>34</v>
      </c>
      <c r="C22">
        <f t="shared" si="1"/>
        <v>0.89999999999999858</v>
      </c>
      <c r="D22">
        <v>24.2</v>
      </c>
    </row>
    <row r="23" spans="1:4">
      <c r="A23" t="s">
        <v>44</v>
      </c>
      <c r="B23" t="s">
        <v>34</v>
      </c>
      <c r="C23">
        <v>0</v>
      </c>
      <c r="D23">
        <v>0</v>
      </c>
    </row>
    <row r="24" spans="1:4">
      <c r="A24" t="s">
        <v>47</v>
      </c>
      <c r="B24" t="s">
        <v>45</v>
      </c>
      <c r="C24">
        <f t="shared" si="1"/>
        <v>0.8</v>
      </c>
      <c r="D24">
        <v>0.8</v>
      </c>
    </row>
    <row r="25" spans="1:4">
      <c r="A25" t="s">
        <v>48</v>
      </c>
      <c r="B25" t="s">
        <v>46</v>
      </c>
      <c r="C25">
        <f t="shared" si="1"/>
        <v>0.89999999999999991</v>
      </c>
      <c r="D25">
        <v>1.7</v>
      </c>
    </row>
    <row r="26" spans="1:4">
      <c r="C26">
        <f>SUM(C2:C25)</f>
        <v>28.400000000000002</v>
      </c>
    </row>
  </sheetData>
  <phoneticPr fontId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2D644-D49F-4243-8360-C9341457E3FA}">
  <dimension ref="A1:B7"/>
  <sheetViews>
    <sheetView workbookViewId="0">
      <selection activeCell="D8" sqref="D8"/>
    </sheetView>
  </sheetViews>
  <sheetFormatPr defaultRowHeight="18"/>
  <sheetData>
    <row r="1" spans="1:2">
      <c r="A1" t="s">
        <v>54</v>
      </c>
      <c r="B1" t="s">
        <v>50</v>
      </c>
    </row>
    <row r="2" spans="1:2">
      <c r="A2" t="s">
        <v>74</v>
      </c>
      <c r="B2" t="s">
        <v>52</v>
      </c>
    </row>
    <row r="3" spans="1:2">
      <c r="A3" t="s">
        <v>75</v>
      </c>
      <c r="B3" t="s">
        <v>55</v>
      </c>
    </row>
    <row r="4" spans="1:2">
      <c r="A4" t="s">
        <v>76</v>
      </c>
      <c r="B4" t="s">
        <v>56</v>
      </c>
    </row>
    <row r="5" spans="1:2">
      <c r="A5" t="s">
        <v>77</v>
      </c>
      <c r="B5" t="s">
        <v>57</v>
      </c>
    </row>
    <row r="6" spans="1:2">
      <c r="A6" t="s">
        <v>78</v>
      </c>
      <c r="B6" t="s">
        <v>58</v>
      </c>
    </row>
    <row r="7" spans="1:2">
      <c r="A7" t="s">
        <v>79</v>
      </c>
      <c r="B7" t="s">
        <v>59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D79AA-307F-4E92-B68E-A0AE77ADC928}">
  <dimension ref="B2:C16"/>
  <sheetViews>
    <sheetView workbookViewId="0">
      <selection activeCell="I16" activeCellId="1" sqref="F14 I15:I16"/>
    </sheetView>
  </sheetViews>
  <sheetFormatPr defaultRowHeight="18"/>
  <cols>
    <col min="3" max="3" width="12.9140625" bestFit="1" customWidth="1"/>
  </cols>
  <sheetData>
    <row r="2" spans="2:3">
      <c r="B2" t="s">
        <v>60</v>
      </c>
      <c r="C2" t="s">
        <v>61</v>
      </c>
    </row>
    <row r="3" spans="2:3">
      <c r="C3" t="s">
        <v>53</v>
      </c>
    </row>
    <row r="4" spans="2:3">
      <c r="C4" t="s">
        <v>3</v>
      </c>
    </row>
    <row r="5" spans="2:3">
      <c r="C5" t="s">
        <v>63</v>
      </c>
    </row>
    <row r="6" spans="2:3">
      <c r="C6" t="s">
        <v>62</v>
      </c>
    </row>
    <row r="7" spans="2:3">
      <c r="C7" t="s">
        <v>64</v>
      </c>
    </row>
    <row r="8" spans="2:3">
      <c r="C8" t="s">
        <v>65</v>
      </c>
    </row>
    <row r="9" spans="2:3">
      <c r="C9" t="s">
        <v>66</v>
      </c>
    </row>
    <row r="10" spans="2:3">
      <c r="C10" t="s">
        <v>67</v>
      </c>
    </row>
    <row r="11" spans="2:3">
      <c r="C11" t="s">
        <v>68</v>
      </c>
    </row>
    <row r="12" spans="2:3">
      <c r="C12" t="s">
        <v>69</v>
      </c>
    </row>
    <row r="13" spans="2:3">
      <c r="C13" t="s">
        <v>70</v>
      </c>
    </row>
    <row r="14" spans="2:3">
      <c r="C14" t="s">
        <v>71</v>
      </c>
    </row>
    <row r="15" spans="2:3">
      <c r="C15" t="s">
        <v>72</v>
      </c>
    </row>
    <row r="16" spans="2:3">
      <c r="C16" t="s">
        <v>73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train_timetable</vt:lpstr>
      <vt:lpstr>station_master</vt:lpstr>
      <vt:lpstr>train_type_master</vt:lpstr>
      <vt:lpstr>destination_master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笹田康宏</dc:creator>
  <cp:lastModifiedBy>康宏 笹田</cp:lastModifiedBy>
  <dcterms:created xsi:type="dcterms:W3CDTF">2015-06-05T18:19:34Z</dcterms:created>
  <dcterms:modified xsi:type="dcterms:W3CDTF">2026-01-02T05:48:08Z</dcterms:modified>
</cp:coreProperties>
</file>